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바탕 화면\투자\무한매수TEST\"/>
    </mc:Choice>
  </mc:AlternateContent>
  <xr:revisionPtr revIDLastSave="0" documentId="13_ncr:1_{D6CC4799-2331-4256-A38B-5E3772333C65}" xr6:coauthVersionLast="47" xr6:coauthVersionMax="47" xr10:uidLastSave="{00000000-0000-0000-0000-000000000000}"/>
  <bookViews>
    <workbookView xWindow="-28920" yWindow="-75" windowWidth="29040" windowHeight="15720" xr2:uid="{98064985-EB92-4B0B-A81B-709CF4629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" i="1" l="1"/>
  <c r="N47" i="1" s="1"/>
  <c r="P47" i="1" s="1"/>
  <c r="M46" i="1"/>
  <c r="N46" i="1" s="1"/>
  <c r="P46" i="1" s="1"/>
  <c r="G3" i="1"/>
  <c r="G43" i="1" s="1"/>
  <c r="F4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14" i="1"/>
  <c r="O5" i="1"/>
  <c r="O6" i="1"/>
  <c r="O7" i="1"/>
  <c r="O8" i="1"/>
  <c r="O9" i="1"/>
  <c r="O10" i="1"/>
  <c r="O11" i="1"/>
  <c r="O12" i="1"/>
  <c r="O13" i="1"/>
  <c r="O4" i="1"/>
  <c r="O3" i="1"/>
  <c r="Q46" i="1" l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14" i="1"/>
  <c r="Q1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/>
  <c r="P11" i="1"/>
  <c r="Q11" i="1"/>
  <c r="P12" i="1"/>
  <c r="Q12" i="1" s="1"/>
  <c r="P13" i="1"/>
  <c r="Q13" i="1" s="1"/>
  <c r="P4" i="1"/>
  <c r="Q4" i="1" s="1"/>
  <c r="P3" i="1"/>
  <c r="Q3" i="1" s="1"/>
  <c r="Q47" i="1"/>
</calcChain>
</file>

<file path=xl/sharedStrings.xml><?xml version="1.0" encoding="utf-8"?>
<sst xmlns="http://schemas.openxmlformats.org/spreadsheetml/2006/main" count="65" uniqueCount="62">
  <si>
    <t>매일 무한매수법</t>
    <phoneticPr fontId="2" type="noConversion"/>
  </si>
  <si>
    <t>1일차</t>
    <phoneticPr fontId="2" type="noConversion"/>
  </si>
  <si>
    <t>일수</t>
    <phoneticPr fontId="2" type="noConversion"/>
  </si>
  <si>
    <t>매수단가</t>
    <phoneticPr fontId="2" type="noConversion"/>
  </si>
  <si>
    <t>매수량</t>
    <phoneticPr fontId="2" type="noConversion"/>
  </si>
  <si>
    <t>합계금액</t>
    <phoneticPr fontId="2" type="noConversion"/>
  </si>
  <si>
    <t>200만원기준</t>
    <phoneticPr fontId="2" type="noConversion"/>
  </si>
  <si>
    <t>2일차</t>
    <phoneticPr fontId="2" type="noConversion"/>
  </si>
  <si>
    <t>변동율</t>
    <phoneticPr fontId="2" type="noConversion"/>
  </si>
  <si>
    <t>변동률</t>
    <phoneticPr fontId="2" type="noConversion"/>
  </si>
  <si>
    <t>매입단가</t>
    <phoneticPr fontId="2" type="noConversion"/>
  </si>
  <si>
    <t>매입수량</t>
    <phoneticPr fontId="2" type="noConversion"/>
  </si>
  <si>
    <t>ACE 레버리지</t>
    <phoneticPr fontId="2" type="noConversion"/>
  </si>
  <si>
    <t>1회평균투자금액</t>
    <phoneticPr fontId="2" type="noConversion"/>
  </si>
  <si>
    <t>3일차</t>
  </si>
  <si>
    <t>4일차</t>
  </si>
  <si>
    <t>5일차</t>
  </si>
  <si>
    <t>6일차</t>
  </si>
  <si>
    <t>7일차</t>
  </si>
  <si>
    <t>8일차</t>
  </si>
  <si>
    <t>9일차</t>
  </si>
  <si>
    <t>10일차</t>
  </si>
  <si>
    <t>11일차</t>
  </si>
  <si>
    <t>12일차</t>
  </si>
  <si>
    <t>13일차</t>
  </si>
  <si>
    <t>14일차</t>
  </si>
  <si>
    <t>15일차</t>
  </si>
  <si>
    <t>16일차</t>
  </si>
  <si>
    <t>17일차</t>
  </si>
  <si>
    <t>18일차</t>
  </si>
  <si>
    <t>19일차</t>
  </si>
  <si>
    <t>20일차</t>
  </si>
  <si>
    <t>21일차</t>
  </si>
  <si>
    <t>22일차</t>
  </si>
  <si>
    <t>23일차</t>
  </si>
  <si>
    <t>24일차</t>
  </si>
  <si>
    <t>25일차</t>
  </si>
  <si>
    <t>26일차</t>
  </si>
  <si>
    <t>27일차</t>
  </si>
  <si>
    <t>28일차</t>
  </si>
  <si>
    <t>29일차</t>
  </si>
  <si>
    <t>30일차</t>
  </si>
  <si>
    <t>31일차</t>
  </si>
  <si>
    <t>32일차</t>
  </si>
  <si>
    <t>33일차</t>
  </si>
  <si>
    <t>34일차</t>
  </si>
  <si>
    <t>35일차</t>
  </si>
  <si>
    <t>36일차</t>
  </si>
  <si>
    <t>37일차</t>
  </si>
  <si>
    <t>38일차</t>
  </si>
  <si>
    <t>39일차</t>
  </si>
  <si>
    <t>40일차</t>
  </si>
  <si>
    <t>NO.</t>
    <phoneticPr fontId="2" type="noConversion"/>
  </si>
  <si>
    <t>평단가(변수)</t>
    <phoneticPr fontId="2" type="noConversion"/>
  </si>
  <si>
    <t>입력</t>
    <phoneticPr fontId="2" type="noConversion"/>
  </si>
  <si>
    <t>수익률</t>
    <phoneticPr fontId="2" type="noConversion"/>
  </si>
  <si>
    <t>10%상승 무조건 매도</t>
    <phoneticPr fontId="2" type="noConversion"/>
  </si>
  <si>
    <t>평균 투자금액</t>
    <phoneticPr fontId="2" type="noConversion"/>
  </si>
  <si>
    <t>평단가
(1회차금액)</t>
    <phoneticPr fontId="2" type="noConversion"/>
  </si>
  <si>
    <t>금일매입단가
(입력)</t>
    <phoneticPr fontId="2" type="noConversion"/>
  </si>
  <si>
    <t>주문매수</t>
    <phoneticPr fontId="2" type="noConversion"/>
  </si>
  <si>
    <t>금일매입금액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</si>
</sst>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.00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2" borderId="2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41" fontId="0" fillId="2" borderId="4" xfId="0" applyNumberFormat="1" applyFill="1" applyBorder="1" applyAlignment="1">
      <alignment horizontal="center"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6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41" fontId="0" fillId="2" borderId="7" xfId="0" applyNumberForma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1" fontId="0" fillId="3" borderId="3" xfId="0" applyNumberFormat="1" applyFill="1" applyBorder="1" applyAlignment="1">
      <alignment horizontal="center" vertical="center"/>
    </xf>
    <xf numFmtId="41" fontId="0" fillId="3" borderId="6" xfId="0" applyNumberFormat="1" applyFill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1" fontId="0" fillId="3" borderId="1" xfId="1" applyFont="1" applyFill="1" applyBorder="1" applyAlignment="1">
      <alignment horizontal="center" vertical="center" wrapText="1"/>
    </xf>
    <xf numFmtId="41" fontId="0" fillId="3" borderId="3" xfId="1" applyFont="1" applyFill="1" applyBorder="1" applyAlignment="1">
      <alignment horizontal="center" vertical="center"/>
    </xf>
    <xf numFmtId="41" fontId="0" fillId="3" borderId="6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8606-8FF6-4AF8-B158-75F590AFD87A}">
  <dimension ref="B1:Q48"/>
  <sheetViews>
    <sheetView tabSelected="1" workbookViewId="0">
      <selection activeCell="Q38" sqref="Q38"/>
    </sheetView>
  </sheetViews>
  <sheetFormatPr defaultColWidth="8.75" defaultRowHeight="16.5" x14ac:dyDescent="0.3"/>
  <cols>
    <col min="1" max="1" width="8.75" style="1"/>
    <col min="2" max="2" width="20.5" style="1" bestFit="1" customWidth="1"/>
    <col min="3" max="4" width="8.75" style="1"/>
    <col min="5" max="5" width="8.75" style="2"/>
    <col min="6" max="6" width="8.75" style="1"/>
    <col min="7" max="7" width="10.75" style="1" bestFit="1" customWidth="1"/>
    <col min="8" max="9" width="8.75" style="1"/>
    <col min="10" max="10" width="9.25" style="1" customWidth="1"/>
    <col min="11" max="11" width="17.875" style="2" bestFit="1" customWidth="1"/>
    <col min="12" max="12" width="8.875" style="2" customWidth="1"/>
    <col min="13" max="13" width="14" style="2" bestFit="1" customWidth="1"/>
    <col min="14" max="15" width="8.75" style="1"/>
    <col min="16" max="16" width="8.75" style="4"/>
    <col min="17" max="17" width="13" style="1" bestFit="1" customWidth="1"/>
    <col min="18" max="16384" width="8.75" style="1"/>
  </cols>
  <sheetData>
    <row r="1" spans="2:17" x14ac:dyDescent="0.3">
      <c r="M1" s="2" t="s">
        <v>54</v>
      </c>
    </row>
    <row r="2" spans="2:17" x14ac:dyDescent="0.3">
      <c r="B2" s="1" t="s">
        <v>12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8</v>
      </c>
      <c r="K2" s="2" t="s">
        <v>13</v>
      </c>
      <c r="L2" s="2" t="s">
        <v>52</v>
      </c>
      <c r="M2" s="2" t="s">
        <v>53</v>
      </c>
      <c r="N2" s="1" t="s">
        <v>9</v>
      </c>
      <c r="O2" s="1" t="s">
        <v>10</v>
      </c>
      <c r="P2" s="4" t="s">
        <v>11</v>
      </c>
      <c r="Q2" s="3" t="s">
        <v>10</v>
      </c>
    </row>
    <row r="3" spans="2:17" x14ac:dyDescent="0.3">
      <c r="B3" s="1" t="s">
        <v>0</v>
      </c>
      <c r="D3" s="1" t="s">
        <v>1</v>
      </c>
      <c r="E3" s="2">
        <v>39800</v>
      </c>
      <c r="F3" s="1">
        <v>50</v>
      </c>
      <c r="G3" s="3">
        <f>E3*F3</f>
        <v>1990000</v>
      </c>
      <c r="K3" s="2">
        <v>2000000</v>
      </c>
      <c r="L3" s="1">
        <v>1</v>
      </c>
      <c r="M3" s="2">
        <v>39800</v>
      </c>
      <c r="N3" s="6">
        <v>0</v>
      </c>
      <c r="O3" s="3">
        <f>$M$3*(100+N3)/100</f>
        <v>39800</v>
      </c>
      <c r="P3" s="5">
        <f>ROUND((K3/O3)*(10-N3)/10,0)</f>
        <v>50</v>
      </c>
      <c r="Q3" s="3">
        <f>O3*P3</f>
        <v>1990000</v>
      </c>
    </row>
    <row r="4" spans="2:17" x14ac:dyDescent="0.3">
      <c r="B4" s="1" t="s">
        <v>6</v>
      </c>
      <c r="D4" s="1" t="s">
        <v>7</v>
      </c>
      <c r="K4" s="2">
        <v>2000000</v>
      </c>
      <c r="L4" s="1">
        <v>2</v>
      </c>
      <c r="M4" s="2">
        <v>39800</v>
      </c>
      <c r="N4" s="6">
        <v>1</v>
      </c>
      <c r="O4" s="3">
        <f>$M$3*(100+N4)/100</f>
        <v>40198</v>
      </c>
      <c r="P4" s="5">
        <f t="shared" ref="P4:P13" si="0">ROUND((K4/O4)*(10-N4)/10,0)</f>
        <v>45</v>
      </c>
      <c r="Q4" s="3">
        <f t="shared" ref="Q4:Q43" si="1">O4*P4</f>
        <v>1808910</v>
      </c>
    </row>
    <row r="5" spans="2:17" x14ac:dyDescent="0.3">
      <c r="B5" s="1" t="s">
        <v>56</v>
      </c>
      <c r="D5" s="1" t="s">
        <v>14</v>
      </c>
      <c r="K5" s="2">
        <v>2000000</v>
      </c>
      <c r="L5" s="1">
        <v>3</v>
      </c>
      <c r="M5" s="2">
        <v>39800</v>
      </c>
      <c r="N5" s="6">
        <v>2</v>
      </c>
      <c r="O5" s="3">
        <f t="shared" ref="O5:O43" si="2">$M$3*(100+N5)/100</f>
        <v>40596</v>
      </c>
      <c r="P5" s="5">
        <f t="shared" si="0"/>
        <v>39</v>
      </c>
      <c r="Q5" s="3">
        <f t="shared" si="1"/>
        <v>1583244</v>
      </c>
    </row>
    <row r="6" spans="2:17" x14ac:dyDescent="0.3">
      <c r="D6" s="1" t="s">
        <v>15</v>
      </c>
      <c r="K6" s="2">
        <v>2000000</v>
      </c>
      <c r="L6" s="1">
        <v>4</v>
      </c>
      <c r="M6" s="2">
        <v>39800</v>
      </c>
      <c r="N6" s="6">
        <v>3</v>
      </c>
      <c r="O6" s="3">
        <f t="shared" si="2"/>
        <v>40994</v>
      </c>
      <c r="P6" s="5">
        <f t="shared" si="0"/>
        <v>34</v>
      </c>
      <c r="Q6" s="3">
        <f t="shared" si="1"/>
        <v>1393796</v>
      </c>
    </row>
    <row r="7" spans="2:17" x14ac:dyDescent="0.3">
      <c r="D7" s="1" t="s">
        <v>16</v>
      </c>
      <c r="K7" s="2">
        <v>2000000</v>
      </c>
      <c r="L7" s="1">
        <v>5</v>
      </c>
      <c r="M7" s="2">
        <v>39800</v>
      </c>
      <c r="N7" s="6">
        <v>4</v>
      </c>
      <c r="O7" s="3">
        <f t="shared" si="2"/>
        <v>41392</v>
      </c>
      <c r="P7" s="5">
        <f t="shared" si="0"/>
        <v>29</v>
      </c>
      <c r="Q7" s="3">
        <f t="shared" si="1"/>
        <v>1200368</v>
      </c>
    </row>
    <row r="8" spans="2:17" x14ac:dyDescent="0.3">
      <c r="D8" s="1" t="s">
        <v>17</v>
      </c>
      <c r="K8" s="2">
        <v>2000000</v>
      </c>
      <c r="L8" s="1">
        <v>6</v>
      </c>
      <c r="M8" s="2">
        <v>39800</v>
      </c>
      <c r="N8" s="6">
        <v>5</v>
      </c>
      <c r="O8" s="3">
        <f t="shared" si="2"/>
        <v>41790</v>
      </c>
      <c r="P8" s="5">
        <f t="shared" si="0"/>
        <v>24</v>
      </c>
      <c r="Q8" s="3">
        <f t="shared" si="1"/>
        <v>1002960</v>
      </c>
    </row>
    <row r="9" spans="2:17" x14ac:dyDescent="0.3">
      <c r="D9" s="1" t="s">
        <v>18</v>
      </c>
      <c r="K9" s="2">
        <v>2000000</v>
      </c>
      <c r="L9" s="1">
        <v>7</v>
      </c>
      <c r="M9" s="2">
        <v>39800</v>
      </c>
      <c r="N9" s="6">
        <v>6</v>
      </c>
      <c r="O9" s="3">
        <f t="shared" si="2"/>
        <v>42188</v>
      </c>
      <c r="P9" s="5">
        <f t="shared" si="0"/>
        <v>19</v>
      </c>
      <c r="Q9" s="3">
        <f t="shared" si="1"/>
        <v>801572</v>
      </c>
    </row>
    <row r="10" spans="2:17" x14ac:dyDescent="0.3">
      <c r="D10" s="1" t="s">
        <v>19</v>
      </c>
      <c r="K10" s="2">
        <v>2000000</v>
      </c>
      <c r="L10" s="1">
        <v>8</v>
      </c>
      <c r="M10" s="2">
        <v>39800</v>
      </c>
      <c r="N10" s="6">
        <v>7</v>
      </c>
      <c r="O10" s="3">
        <f t="shared" si="2"/>
        <v>42586</v>
      </c>
      <c r="P10" s="5">
        <f t="shared" si="0"/>
        <v>14</v>
      </c>
      <c r="Q10" s="3">
        <f t="shared" si="1"/>
        <v>596204</v>
      </c>
    </row>
    <row r="11" spans="2:17" x14ac:dyDescent="0.3">
      <c r="D11" s="1" t="s">
        <v>20</v>
      </c>
      <c r="K11" s="2">
        <v>2000000</v>
      </c>
      <c r="L11" s="1">
        <v>9</v>
      </c>
      <c r="M11" s="2">
        <v>39800</v>
      </c>
      <c r="N11" s="6">
        <v>8</v>
      </c>
      <c r="O11" s="3">
        <f t="shared" si="2"/>
        <v>42984</v>
      </c>
      <c r="P11" s="5">
        <f t="shared" si="0"/>
        <v>9</v>
      </c>
      <c r="Q11" s="3">
        <f t="shared" si="1"/>
        <v>386856</v>
      </c>
    </row>
    <row r="12" spans="2:17" x14ac:dyDescent="0.3">
      <c r="D12" s="1" t="s">
        <v>21</v>
      </c>
      <c r="K12" s="2">
        <v>2000000</v>
      </c>
      <c r="L12" s="1">
        <v>10</v>
      </c>
      <c r="M12" s="2">
        <v>39800</v>
      </c>
      <c r="N12" s="6">
        <v>9</v>
      </c>
      <c r="O12" s="3">
        <f t="shared" si="2"/>
        <v>43382</v>
      </c>
      <c r="P12" s="5">
        <f t="shared" si="0"/>
        <v>5</v>
      </c>
      <c r="Q12" s="3">
        <f t="shared" si="1"/>
        <v>216910</v>
      </c>
    </row>
    <row r="13" spans="2:17" x14ac:dyDescent="0.3">
      <c r="D13" s="1" t="s">
        <v>22</v>
      </c>
      <c r="K13" s="2">
        <v>2000000</v>
      </c>
      <c r="L13" s="1">
        <v>11</v>
      </c>
      <c r="M13" s="2">
        <v>39800</v>
      </c>
      <c r="N13" s="6">
        <v>10</v>
      </c>
      <c r="O13" s="3">
        <f t="shared" si="2"/>
        <v>43780</v>
      </c>
      <c r="P13" s="5">
        <f t="shared" si="0"/>
        <v>0</v>
      </c>
      <c r="Q13" s="3">
        <f t="shared" si="1"/>
        <v>0</v>
      </c>
    </row>
    <row r="14" spans="2:17" x14ac:dyDescent="0.3">
      <c r="D14" s="1" t="s">
        <v>23</v>
      </c>
      <c r="K14" s="2">
        <v>2000000</v>
      </c>
      <c r="L14" s="1">
        <v>12</v>
      </c>
      <c r="M14" s="2">
        <v>39800</v>
      </c>
      <c r="N14" s="6">
        <v>-2</v>
      </c>
      <c r="O14" s="3">
        <f t="shared" si="2"/>
        <v>39004</v>
      </c>
      <c r="P14" s="5">
        <f>ROUND((K14/O14)*(60-N14)/60,0)</f>
        <v>53</v>
      </c>
      <c r="Q14" s="3">
        <f t="shared" si="1"/>
        <v>2067212</v>
      </c>
    </row>
    <row r="15" spans="2:17" x14ac:dyDescent="0.3">
      <c r="D15" s="1" t="s">
        <v>24</v>
      </c>
      <c r="K15" s="2">
        <v>2000000</v>
      </c>
      <c r="L15" s="1">
        <v>13</v>
      </c>
      <c r="M15" s="2">
        <v>39800</v>
      </c>
      <c r="N15" s="6">
        <v>-4</v>
      </c>
      <c r="O15" s="3">
        <f t="shared" si="2"/>
        <v>38208</v>
      </c>
      <c r="P15" s="5">
        <f t="shared" ref="P15:P43" si="3">ROUND((K15/O15)*(60-N15)/60,0)</f>
        <v>56</v>
      </c>
      <c r="Q15" s="3">
        <f t="shared" si="1"/>
        <v>2139648</v>
      </c>
    </row>
    <row r="16" spans="2:17" x14ac:dyDescent="0.3">
      <c r="D16" s="1" t="s">
        <v>25</v>
      </c>
      <c r="K16" s="2">
        <v>2000000</v>
      </c>
      <c r="L16" s="1">
        <v>14</v>
      </c>
      <c r="M16" s="2">
        <v>39800</v>
      </c>
      <c r="N16" s="6">
        <v>-6</v>
      </c>
      <c r="O16" s="3">
        <f t="shared" si="2"/>
        <v>37412</v>
      </c>
      <c r="P16" s="5">
        <f t="shared" si="3"/>
        <v>59</v>
      </c>
      <c r="Q16" s="3">
        <f t="shared" si="1"/>
        <v>2207308</v>
      </c>
    </row>
    <row r="17" spans="4:17" x14ac:dyDescent="0.3">
      <c r="D17" s="1" t="s">
        <v>26</v>
      </c>
      <c r="K17" s="2">
        <v>2000000</v>
      </c>
      <c r="L17" s="1">
        <v>15</v>
      </c>
      <c r="M17" s="2">
        <v>39800</v>
      </c>
      <c r="N17" s="6">
        <v>-8</v>
      </c>
      <c r="O17" s="3">
        <f t="shared" si="2"/>
        <v>36616</v>
      </c>
      <c r="P17" s="5">
        <f t="shared" si="3"/>
        <v>62</v>
      </c>
      <c r="Q17" s="3">
        <f t="shared" si="1"/>
        <v>2270192</v>
      </c>
    </row>
    <row r="18" spans="4:17" x14ac:dyDescent="0.3">
      <c r="D18" s="1" t="s">
        <v>27</v>
      </c>
      <c r="K18" s="2">
        <v>2000000</v>
      </c>
      <c r="L18" s="1">
        <v>16</v>
      </c>
      <c r="M18" s="2">
        <v>39800</v>
      </c>
      <c r="N18" s="6">
        <v>-10</v>
      </c>
      <c r="O18" s="3">
        <f t="shared" si="2"/>
        <v>35820</v>
      </c>
      <c r="P18" s="5">
        <f t="shared" si="3"/>
        <v>65</v>
      </c>
      <c r="Q18" s="3">
        <f t="shared" si="1"/>
        <v>2328300</v>
      </c>
    </row>
    <row r="19" spans="4:17" x14ac:dyDescent="0.3">
      <c r="D19" s="1" t="s">
        <v>28</v>
      </c>
      <c r="K19" s="2">
        <v>2000000</v>
      </c>
      <c r="L19" s="1">
        <v>17</v>
      </c>
      <c r="M19" s="2">
        <v>39800</v>
      </c>
      <c r="N19" s="6">
        <v>-12</v>
      </c>
      <c r="O19" s="3">
        <f t="shared" si="2"/>
        <v>35024</v>
      </c>
      <c r="P19" s="5">
        <f t="shared" si="3"/>
        <v>69</v>
      </c>
      <c r="Q19" s="3">
        <f t="shared" si="1"/>
        <v>2416656</v>
      </c>
    </row>
    <row r="20" spans="4:17" x14ac:dyDescent="0.3">
      <c r="D20" s="1" t="s">
        <v>29</v>
      </c>
      <c r="K20" s="2">
        <v>2000000</v>
      </c>
      <c r="L20" s="1">
        <v>18</v>
      </c>
      <c r="M20" s="2">
        <v>39800</v>
      </c>
      <c r="N20" s="6">
        <v>-14</v>
      </c>
      <c r="O20" s="3">
        <f t="shared" si="2"/>
        <v>34228</v>
      </c>
      <c r="P20" s="5">
        <f t="shared" si="3"/>
        <v>72</v>
      </c>
      <c r="Q20" s="3">
        <f t="shared" si="1"/>
        <v>2464416</v>
      </c>
    </row>
    <row r="21" spans="4:17" x14ac:dyDescent="0.3">
      <c r="D21" s="1" t="s">
        <v>30</v>
      </c>
      <c r="K21" s="2">
        <v>2000000</v>
      </c>
      <c r="L21" s="1">
        <v>19</v>
      </c>
      <c r="M21" s="2">
        <v>39800</v>
      </c>
      <c r="N21" s="6">
        <v>-16</v>
      </c>
      <c r="O21" s="3">
        <f t="shared" si="2"/>
        <v>33432</v>
      </c>
      <c r="P21" s="5">
        <f t="shared" si="3"/>
        <v>76</v>
      </c>
      <c r="Q21" s="3">
        <f t="shared" si="1"/>
        <v>2540832</v>
      </c>
    </row>
    <row r="22" spans="4:17" x14ac:dyDescent="0.3">
      <c r="D22" s="1" t="s">
        <v>31</v>
      </c>
      <c r="K22" s="2">
        <v>2000000</v>
      </c>
      <c r="L22" s="1">
        <v>20</v>
      </c>
      <c r="M22" s="2">
        <v>39800</v>
      </c>
      <c r="N22" s="6">
        <v>-18</v>
      </c>
      <c r="O22" s="3">
        <f t="shared" si="2"/>
        <v>32636</v>
      </c>
      <c r="P22" s="5">
        <f t="shared" si="3"/>
        <v>80</v>
      </c>
      <c r="Q22" s="3">
        <f t="shared" si="1"/>
        <v>2610880</v>
      </c>
    </row>
    <row r="23" spans="4:17" x14ac:dyDescent="0.3">
      <c r="D23" s="1" t="s">
        <v>32</v>
      </c>
      <c r="K23" s="2">
        <v>2000000</v>
      </c>
      <c r="L23" s="1">
        <v>21</v>
      </c>
      <c r="M23" s="2">
        <v>39800</v>
      </c>
      <c r="N23" s="6">
        <v>-20</v>
      </c>
      <c r="O23" s="3">
        <f t="shared" si="2"/>
        <v>31840</v>
      </c>
      <c r="P23" s="5">
        <f t="shared" si="3"/>
        <v>84</v>
      </c>
      <c r="Q23" s="3">
        <f t="shared" si="1"/>
        <v>2674560</v>
      </c>
    </row>
    <row r="24" spans="4:17" x14ac:dyDescent="0.3">
      <c r="D24" s="1" t="s">
        <v>33</v>
      </c>
      <c r="K24" s="2">
        <v>2000000</v>
      </c>
      <c r="L24" s="1">
        <v>22</v>
      </c>
      <c r="M24" s="2">
        <v>39800</v>
      </c>
      <c r="N24" s="6">
        <v>-22</v>
      </c>
      <c r="O24" s="3">
        <f t="shared" si="2"/>
        <v>31044</v>
      </c>
      <c r="P24" s="5">
        <f t="shared" si="3"/>
        <v>88</v>
      </c>
      <c r="Q24" s="3">
        <f t="shared" si="1"/>
        <v>2731872</v>
      </c>
    </row>
    <row r="25" spans="4:17" x14ac:dyDescent="0.3">
      <c r="D25" s="1" t="s">
        <v>34</v>
      </c>
      <c r="K25" s="2">
        <v>2000000</v>
      </c>
      <c r="L25" s="1">
        <v>23</v>
      </c>
      <c r="M25" s="2">
        <v>39800</v>
      </c>
      <c r="N25" s="6">
        <v>-24</v>
      </c>
      <c r="O25" s="3">
        <f t="shared" si="2"/>
        <v>30248</v>
      </c>
      <c r="P25" s="5">
        <f t="shared" si="3"/>
        <v>93</v>
      </c>
      <c r="Q25" s="3">
        <f t="shared" si="1"/>
        <v>2813064</v>
      </c>
    </row>
    <row r="26" spans="4:17" x14ac:dyDescent="0.3">
      <c r="D26" s="1" t="s">
        <v>35</v>
      </c>
      <c r="K26" s="2">
        <v>2000000</v>
      </c>
      <c r="L26" s="1">
        <v>24</v>
      </c>
      <c r="M26" s="2">
        <v>39800</v>
      </c>
      <c r="N26" s="6">
        <v>-26</v>
      </c>
      <c r="O26" s="3">
        <f t="shared" si="2"/>
        <v>29452</v>
      </c>
      <c r="P26" s="5">
        <f t="shared" si="3"/>
        <v>97</v>
      </c>
      <c r="Q26" s="3">
        <f t="shared" si="1"/>
        <v>2856844</v>
      </c>
    </row>
    <row r="27" spans="4:17" x14ac:dyDescent="0.3">
      <c r="D27" s="1" t="s">
        <v>36</v>
      </c>
      <c r="K27" s="2">
        <v>2000000</v>
      </c>
      <c r="L27" s="1">
        <v>25</v>
      </c>
      <c r="M27" s="2">
        <v>39800</v>
      </c>
      <c r="N27" s="6">
        <v>-28</v>
      </c>
      <c r="O27" s="3">
        <f t="shared" si="2"/>
        <v>28656</v>
      </c>
      <c r="P27" s="5">
        <f t="shared" si="3"/>
        <v>102</v>
      </c>
      <c r="Q27" s="3">
        <f t="shared" si="1"/>
        <v>2922912</v>
      </c>
    </row>
    <row r="28" spans="4:17" x14ac:dyDescent="0.3">
      <c r="D28" s="1" t="s">
        <v>37</v>
      </c>
      <c r="K28" s="2">
        <v>2000000</v>
      </c>
      <c r="L28" s="1">
        <v>26</v>
      </c>
      <c r="M28" s="2">
        <v>39800</v>
      </c>
      <c r="N28" s="6">
        <v>-30</v>
      </c>
      <c r="O28" s="3">
        <f t="shared" si="2"/>
        <v>27860</v>
      </c>
      <c r="P28" s="5">
        <f t="shared" si="3"/>
        <v>108</v>
      </c>
      <c r="Q28" s="3">
        <f t="shared" si="1"/>
        <v>3008880</v>
      </c>
    </row>
    <row r="29" spans="4:17" x14ac:dyDescent="0.3">
      <c r="D29" s="1" t="s">
        <v>38</v>
      </c>
      <c r="K29" s="2">
        <v>2000000</v>
      </c>
      <c r="L29" s="1">
        <v>27</v>
      </c>
      <c r="M29" s="2">
        <v>39800</v>
      </c>
      <c r="N29" s="6">
        <v>-32</v>
      </c>
      <c r="O29" s="3">
        <f t="shared" si="2"/>
        <v>27064</v>
      </c>
      <c r="P29" s="5">
        <f t="shared" si="3"/>
        <v>113</v>
      </c>
      <c r="Q29" s="3">
        <f t="shared" si="1"/>
        <v>3058232</v>
      </c>
    </row>
    <row r="30" spans="4:17" x14ac:dyDescent="0.3">
      <c r="D30" s="1" t="s">
        <v>39</v>
      </c>
      <c r="K30" s="2">
        <v>2000000</v>
      </c>
      <c r="L30" s="1">
        <v>28</v>
      </c>
      <c r="M30" s="2">
        <v>39800</v>
      </c>
      <c r="N30" s="6">
        <v>-34</v>
      </c>
      <c r="O30" s="3">
        <f t="shared" si="2"/>
        <v>26268</v>
      </c>
      <c r="P30" s="5">
        <f t="shared" si="3"/>
        <v>119</v>
      </c>
      <c r="Q30" s="3">
        <f t="shared" si="1"/>
        <v>3125892</v>
      </c>
    </row>
    <row r="31" spans="4:17" x14ac:dyDescent="0.3">
      <c r="D31" s="1" t="s">
        <v>40</v>
      </c>
      <c r="K31" s="2">
        <v>2000000</v>
      </c>
      <c r="L31" s="1">
        <v>29</v>
      </c>
      <c r="M31" s="2">
        <v>39800</v>
      </c>
      <c r="N31" s="6">
        <v>-36</v>
      </c>
      <c r="O31" s="3">
        <f t="shared" si="2"/>
        <v>25472</v>
      </c>
      <c r="P31" s="5">
        <f t="shared" si="3"/>
        <v>126</v>
      </c>
      <c r="Q31" s="3">
        <f t="shared" si="1"/>
        <v>3209472</v>
      </c>
    </row>
    <row r="32" spans="4:17" x14ac:dyDescent="0.3">
      <c r="D32" s="1" t="s">
        <v>41</v>
      </c>
      <c r="K32" s="2">
        <v>2000000</v>
      </c>
      <c r="L32" s="1">
        <v>30</v>
      </c>
      <c r="M32" s="2">
        <v>39800</v>
      </c>
      <c r="N32" s="6">
        <v>-38</v>
      </c>
      <c r="O32" s="3">
        <f t="shared" si="2"/>
        <v>24676</v>
      </c>
      <c r="P32" s="5">
        <f t="shared" si="3"/>
        <v>132</v>
      </c>
      <c r="Q32" s="3">
        <f t="shared" si="1"/>
        <v>3257232</v>
      </c>
    </row>
    <row r="33" spans="4:17" x14ac:dyDescent="0.3">
      <c r="D33" s="1" t="s">
        <v>42</v>
      </c>
      <c r="K33" s="2">
        <v>2000000</v>
      </c>
      <c r="L33" s="1">
        <v>31</v>
      </c>
      <c r="M33" s="2">
        <v>39800</v>
      </c>
      <c r="N33" s="6">
        <v>-40</v>
      </c>
      <c r="O33" s="3">
        <f t="shared" si="2"/>
        <v>23880</v>
      </c>
      <c r="P33" s="5">
        <f t="shared" si="3"/>
        <v>140</v>
      </c>
      <c r="Q33" s="3">
        <f t="shared" si="1"/>
        <v>3343200</v>
      </c>
    </row>
    <row r="34" spans="4:17" x14ac:dyDescent="0.3">
      <c r="D34" s="1" t="s">
        <v>43</v>
      </c>
      <c r="K34" s="2">
        <v>2000000</v>
      </c>
      <c r="L34" s="1">
        <v>32</v>
      </c>
      <c r="M34" s="2">
        <v>39800</v>
      </c>
      <c r="N34" s="6">
        <v>-42</v>
      </c>
      <c r="O34" s="3">
        <f t="shared" si="2"/>
        <v>23084</v>
      </c>
      <c r="P34" s="5">
        <f t="shared" si="3"/>
        <v>147</v>
      </c>
      <c r="Q34" s="3">
        <f t="shared" si="1"/>
        <v>3393348</v>
      </c>
    </row>
    <row r="35" spans="4:17" x14ac:dyDescent="0.3">
      <c r="D35" s="1" t="s">
        <v>44</v>
      </c>
      <c r="K35" s="2">
        <v>2000000</v>
      </c>
      <c r="L35" s="1">
        <v>33</v>
      </c>
      <c r="M35" s="2">
        <v>39800</v>
      </c>
      <c r="N35" s="6">
        <v>-44</v>
      </c>
      <c r="O35" s="3">
        <f t="shared" si="2"/>
        <v>22288</v>
      </c>
      <c r="P35" s="5">
        <f t="shared" si="3"/>
        <v>156</v>
      </c>
      <c r="Q35" s="3">
        <f t="shared" si="1"/>
        <v>3476928</v>
      </c>
    </row>
    <row r="36" spans="4:17" x14ac:dyDescent="0.3">
      <c r="D36" s="1" t="s">
        <v>45</v>
      </c>
      <c r="K36" s="2">
        <v>2000000</v>
      </c>
      <c r="L36" s="1">
        <v>34</v>
      </c>
      <c r="M36" s="2">
        <v>39800</v>
      </c>
      <c r="N36" s="6">
        <v>-46</v>
      </c>
      <c r="O36" s="3">
        <f t="shared" si="2"/>
        <v>21492</v>
      </c>
      <c r="P36" s="5">
        <f t="shared" si="3"/>
        <v>164</v>
      </c>
      <c r="Q36" s="3">
        <f t="shared" si="1"/>
        <v>3524688</v>
      </c>
    </row>
    <row r="37" spans="4:17" x14ac:dyDescent="0.3">
      <c r="D37" s="1" t="s">
        <v>46</v>
      </c>
      <c r="K37" s="2">
        <v>2000000</v>
      </c>
      <c r="L37" s="1">
        <v>35</v>
      </c>
      <c r="M37" s="2">
        <v>39800</v>
      </c>
      <c r="N37" s="6">
        <v>-48</v>
      </c>
      <c r="O37" s="3">
        <f t="shared" si="2"/>
        <v>20696</v>
      </c>
      <c r="P37" s="5">
        <f t="shared" si="3"/>
        <v>174</v>
      </c>
      <c r="Q37" s="3">
        <f t="shared" si="1"/>
        <v>3601104</v>
      </c>
    </row>
    <row r="38" spans="4:17" x14ac:dyDescent="0.3">
      <c r="D38" s="1" t="s">
        <v>47</v>
      </c>
      <c r="K38" s="2">
        <v>2000000</v>
      </c>
      <c r="L38" s="1">
        <v>36</v>
      </c>
      <c r="M38" s="2">
        <v>39800</v>
      </c>
      <c r="N38" s="6">
        <v>-50</v>
      </c>
      <c r="O38" s="3">
        <f t="shared" si="2"/>
        <v>19900</v>
      </c>
      <c r="P38" s="5">
        <f t="shared" si="3"/>
        <v>184</v>
      </c>
      <c r="Q38" s="3">
        <f t="shared" si="1"/>
        <v>3661600</v>
      </c>
    </row>
    <row r="39" spans="4:17" x14ac:dyDescent="0.3">
      <c r="D39" s="1" t="s">
        <v>48</v>
      </c>
      <c r="K39" s="2">
        <v>2000000</v>
      </c>
      <c r="L39" s="1">
        <v>37</v>
      </c>
      <c r="M39" s="2">
        <v>39800</v>
      </c>
      <c r="N39" s="6">
        <v>-52</v>
      </c>
      <c r="O39" s="3">
        <f t="shared" si="2"/>
        <v>19104</v>
      </c>
      <c r="P39" s="5">
        <f t="shared" si="3"/>
        <v>195</v>
      </c>
      <c r="Q39" s="3">
        <f t="shared" si="1"/>
        <v>3725280</v>
      </c>
    </row>
    <row r="40" spans="4:17" x14ac:dyDescent="0.3">
      <c r="D40" s="1" t="s">
        <v>49</v>
      </c>
      <c r="K40" s="2">
        <v>2000000</v>
      </c>
      <c r="L40" s="1">
        <v>38</v>
      </c>
      <c r="M40" s="2">
        <v>39800</v>
      </c>
      <c r="N40" s="6">
        <v>-54</v>
      </c>
      <c r="O40" s="3">
        <f t="shared" si="2"/>
        <v>18308</v>
      </c>
      <c r="P40" s="5">
        <f t="shared" si="3"/>
        <v>208</v>
      </c>
      <c r="Q40" s="3">
        <f t="shared" si="1"/>
        <v>3808064</v>
      </c>
    </row>
    <row r="41" spans="4:17" x14ac:dyDescent="0.3">
      <c r="D41" s="1" t="s">
        <v>50</v>
      </c>
      <c r="K41" s="2">
        <v>2000000</v>
      </c>
      <c r="L41" s="1">
        <v>39</v>
      </c>
      <c r="M41" s="2">
        <v>39800</v>
      </c>
      <c r="N41" s="6">
        <v>-56</v>
      </c>
      <c r="O41" s="3">
        <f t="shared" si="2"/>
        <v>17512</v>
      </c>
      <c r="P41" s="5">
        <f t="shared" si="3"/>
        <v>221</v>
      </c>
      <c r="Q41" s="3">
        <f t="shared" si="1"/>
        <v>3870152</v>
      </c>
    </row>
    <row r="42" spans="4:17" x14ac:dyDescent="0.3">
      <c r="D42" s="1" t="s">
        <v>51</v>
      </c>
      <c r="K42" s="2">
        <v>2000000</v>
      </c>
      <c r="L42" s="1">
        <v>40</v>
      </c>
      <c r="M42" s="2">
        <v>39800</v>
      </c>
      <c r="N42" s="6">
        <v>-58</v>
      </c>
      <c r="O42" s="3">
        <f t="shared" si="2"/>
        <v>16716</v>
      </c>
      <c r="P42" s="5">
        <f t="shared" si="3"/>
        <v>235</v>
      </c>
      <c r="Q42" s="3">
        <f t="shared" si="1"/>
        <v>3928260</v>
      </c>
    </row>
    <row r="43" spans="4:17" x14ac:dyDescent="0.3">
      <c r="D43" s="1" t="s">
        <v>5</v>
      </c>
      <c r="F43" s="1">
        <f>SUM(F3:F42)</f>
        <v>50</v>
      </c>
      <c r="G43" s="3">
        <f>SUM(G3:G42)</f>
        <v>1990000</v>
      </c>
      <c r="K43" s="2">
        <v>2000000</v>
      </c>
      <c r="L43" s="1">
        <v>41</v>
      </c>
      <c r="M43" s="2">
        <v>39800</v>
      </c>
      <c r="N43" s="6">
        <v>-60</v>
      </c>
      <c r="O43" s="3">
        <f t="shared" si="2"/>
        <v>15920</v>
      </c>
      <c r="P43" s="5">
        <f t="shared" si="3"/>
        <v>251</v>
      </c>
      <c r="Q43" s="3">
        <f t="shared" si="1"/>
        <v>3995920</v>
      </c>
    </row>
    <row r="44" spans="4:17" ht="17.25" thickBot="1" x14ac:dyDescent="0.35">
      <c r="D44" s="1" t="s">
        <v>55</v>
      </c>
      <c r="Q44" s="3"/>
    </row>
    <row r="45" spans="4:17" ht="48" customHeight="1" thickTop="1" thickBot="1" x14ac:dyDescent="0.35">
      <c r="K45" s="16" t="s">
        <v>57</v>
      </c>
      <c r="L45" s="16"/>
      <c r="M45" s="23" t="s">
        <v>58</v>
      </c>
      <c r="N45" s="17" t="s">
        <v>8</v>
      </c>
      <c r="O45" s="22" t="s">
        <v>59</v>
      </c>
      <c r="P45" s="18" t="s">
        <v>60</v>
      </c>
      <c r="Q45" s="17" t="s">
        <v>61</v>
      </c>
    </row>
    <row r="46" spans="4:17" ht="17.25" thickTop="1" x14ac:dyDescent="0.3">
      <c r="K46" s="7">
        <v>2000000</v>
      </c>
      <c r="L46" s="8"/>
      <c r="M46" s="24">
        <f>E3</f>
        <v>39800</v>
      </c>
      <c r="N46" s="21">
        <f>O46/M46</f>
        <v>1.0804020100502512</v>
      </c>
      <c r="O46" s="19">
        <v>43000</v>
      </c>
      <c r="P46" s="9">
        <f>ROUND((K46/O46)*(10-((1-N46)*-100))/10,0)</f>
        <v>9</v>
      </c>
      <c r="Q46" s="10">
        <f>O46*P46</f>
        <v>387000</v>
      </c>
    </row>
    <row r="47" spans="4:17" ht="17.25" thickBot="1" x14ac:dyDescent="0.35">
      <c r="K47" s="11">
        <v>2000000</v>
      </c>
      <c r="L47" s="12"/>
      <c r="M47" s="25">
        <f>E3</f>
        <v>39800</v>
      </c>
      <c r="N47" s="13">
        <f>O47/M47</f>
        <v>0.87939698492462315</v>
      </c>
      <c r="O47" s="20">
        <v>35000</v>
      </c>
      <c r="P47" s="14">
        <f>ROUND((K47/O47)*((60-((1-N47)*-100))/60),0)</f>
        <v>69</v>
      </c>
      <c r="Q47" s="15">
        <f t="shared" ref="Q47" si="4">O47*P47</f>
        <v>2415000</v>
      </c>
    </row>
    <row r="48" spans="4:17" ht="17.25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종우</dc:creator>
  <cp:lastModifiedBy>티앤이 티앤이</cp:lastModifiedBy>
  <dcterms:created xsi:type="dcterms:W3CDTF">2026-07-30T06:10:23Z</dcterms:created>
  <dcterms:modified xsi:type="dcterms:W3CDTF">2026-07-31T03:27:36Z</dcterms:modified>
</cp:coreProperties>
</file>